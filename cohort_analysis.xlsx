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EA4879F-3CF6-45EC-B9B2-43D49E68FD29}" xr6:coauthVersionLast="47" xr6:coauthVersionMax="47" xr10:uidLastSave="{00000000-0000-0000-0000-000000000000}"/>
  <bookViews>
    <workbookView xWindow="-120" yWindow="-120" windowWidth="20730" windowHeight="11160" xr2:uid="{DF657C23-AD35-4B14-9520-B1C4C0E4E177}"/>
  </bookViews>
  <sheets>
    <sheet name="Sheet2" sheetId="2" r:id="rId1"/>
  </sheets>
  <calcPr calcId="191029"/>
  <pivotCaches>
    <pivotCache cacheId="0" r:id="rId2"/>
  </pivotCaches>
</workbook>
</file>

<file path=xl/calcChain.xml><?xml version="1.0" encoding="utf-8"?>
<calcChain xmlns="http://schemas.openxmlformats.org/spreadsheetml/2006/main">
  <c r="L12" i="2" l="1"/>
  <c r="M12" i="2"/>
  <c r="N12" i="2"/>
  <c r="O12" i="2"/>
  <c r="P12" i="2"/>
  <c r="Q12" i="2"/>
  <c r="K12" i="2"/>
  <c r="L11" i="2"/>
  <c r="M11" i="2"/>
  <c r="N11" i="2"/>
  <c r="O11" i="2"/>
  <c r="P11" i="2"/>
  <c r="Q11" i="2"/>
  <c r="L10" i="2"/>
  <c r="M10" i="2"/>
  <c r="N10" i="2"/>
  <c r="O10" i="2"/>
  <c r="P10" i="2"/>
  <c r="Q10" i="2"/>
  <c r="K10" i="2"/>
  <c r="K11" i="2"/>
  <c r="Q9" i="2"/>
  <c r="P9" i="2"/>
  <c r="O9" i="2"/>
  <c r="L9" i="2"/>
  <c r="M9" i="2"/>
  <c r="N9" i="2"/>
  <c r="K9" i="2"/>
</calcChain>
</file>

<file path=xl/sharedStrings.xml><?xml version="1.0" encoding="utf-8"?>
<sst xmlns="http://schemas.openxmlformats.org/spreadsheetml/2006/main" count="7" uniqueCount="7">
  <si>
    <t>Sum of customers</t>
  </si>
  <si>
    <t>Column Labels</t>
  </si>
  <si>
    <t>Grand Total</t>
  </si>
  <si>
    <t>2016</t>
  </si>
  <si>
    <t>2017</t>
  </si>
  <si>
    <t>2018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</si>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</sst>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11.981532291669" createdVersion="8" refreshedVersion="8" minRefreshableVersion="3" recordCount="30" xr:uid="{119B822E-7943-4213-8D41-694D8B4DBEA3}">
  <cacheSource type="worksheet">
    <worksheetSource ref="A1:C31" sheet="Sheet1"/>
  </cacheSource>
  <cacheFields count="6">
    <cacheField name="cohort_month" numFmtId="14">
      <sharedItems containsSemiMixedTypes="0" containsNonDate="0" containsDate="1" containsString="0" minDate="2016-10-01T00:00:00" maxDate="2018-08-02T00:00:00" count="21">
        <d v="2016-10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</sharedItems>
      <fieldGroup par="5"/>
    </cacheField>
    <cacheField name="month_diff" numFmtId="0">
      <sharedItems containsSemiMixedTypes="0" containsString="0" containsNumber="1" containsInteger="1" minValue="0" maxValue="9" count="8">
        <n v="0"/>
        <n v="4"/>
        <n v="9"/>
        <n v="3"/>
        <n v="6"/>
        <n v="7"/>
        <n v="5"/>
        <n v="1"/>
      </sharedItems>
    </cacheField>
    <cacheField name="customers" numFmtId="0">
      <sharedItems containsSemiMixedTypes="0" containsString="0" containsNumber="1" containsInteger="1" minValue="1" maxValue="85"/>
    </cacheField>
    <cacheField name="Months (cohort_month)" numFmtId="0" databaseField="0">
      <fieldGroup base="0">
        <rangePr groupBy="months" startDate="2016-10-01T00:00:00" endDate="2018-08-02T00:00:00"/>
        <groupItems count="14">
          <s v="&lt;10/1/201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8/2/2018"/>
        </groupItems>
      </fieldGroup>
    </cacheField>
    <cacheField name="Quarters (cohort_month)" numFmtId="0" databaseField="0">
      <fieldGroup base="0">
        <rangePr groupBy="quarters" startDate="2016-10-01T00:00:00" endDate="2018-08-02T00:00:00"/>
        <groupItems count="6">
          <s v="&lt;10/1/2016"/>
          <s v="Qtr1"/>
          <s v="Qtr2"/>
          <s v="Qtr3"/>
          <s v="Qtr4"/>
          <s v="&gt;8/2/2018"/>
        </groupItems>
      </fieldGroup>
    </cacheField>
    <cacheField name="Years (cohort_month)" numFmtId="0" databaseField="0">
      <fieldGroup base="0">
        <rangePr groupBy="years" startDate="2016-10-01T00:00:00" endDate="2018-08-02T00:00:00"/>
        <groupItems count="5">
          <s v="&lt;10/1/2016"/>
          <s v="2016"/>
          <s v="2017"/>
          <s v="2018"/>
          <s v="&gt;8/2/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n v="4"/>
  </r>
  <r>
    <x v="1"/>
    <x v="0"/>
    <n v="8"/>
  </r>
  <r>
    <x v="2"/>
    <x v="0"/>
    <n v="20"/>
  </r>
  <r>
    <x v="3"/>
    <x v="0"/>
    <n v="33"/>
  </r>
  <r>
    <x v="4"/>
    <x v="0"/>
    <n v="29"/>
  </r>
  <r>
    <x v="5"/>
    <x v="0"/>
    <n v="44"/>
  </r>
  <r>
    <x v="5"/>
    <x v="1"/>
    <n v="1"/>
  </r>
  <r>
    <x v="5"/>
    <x v="2"/>
    <n v="1"/>
  </r>
  <r>
    <x v="6"/>
    <x v="0"/>
    <n v="29"/>
  </r>
  <r>
    <x v="7"/>
    <x v="0"/>
    <n v="26"/>
  </r>
  <r>
    <x v="7"/>
    <x v="3"/>
    <n v="1"/>
  </r>
  <r>
    <x v="8"/>
    <x v="0"/>
    <n v="60"/>
  </r>
  <r>
    <x v="9"/>
    <x v="0"/>
    <n v="56"/>
  </r>
  <r>
    <x v="9"/>
    <x v="4"/>
    <n v="1"/>
  </r>
  <r>
    <x v="10"/>
    <x v="0"/>
    <n v="46"/>
  </r>
  <r>
    <x v="10"/>
    <x v="4"/>
    <n v="1"/>
  </r>
  <r>
    <x v="10"/>
    <x v="5"/>
    <n v="1"/>
  </r>
  <r>
    <x v="11"/>
    <x v="0"/>
    <n v="77"/>
  </r>
  <r>
    <x v="12"/>
    <x v="0"/>
    <n v="50"/>
  </r>
  <r>
    <x v="13"/>
    <x v="0"/>
    <n v="85"/>
  </r>
  <r>
    <x v="13"/>
    <x v="6"/>
    <n v="1"/>
  </r>
  <r>
    <x v="14"/>
    <x v="0"/>
    <n v="75"/>
  </r>
  <r>
    <x v="14"/>
    <x v="3"/>
    <n v="1"/>
  </r>
  <r>
    <x v="15"/>
    <x v="0"/>
    <n v="75"/>
  </r>
  <r>
    <x v="15"/>
    <x v="7"/>
    <n v="1"/>
  </r>
  <r>
    <x v="16"/>
    <x v="0"/>
    <n v="66"/>
  </r>
  <r>
    <x v="17"/>
    <x v="0"/>
    <n v="65"/>
  </r>
  <r>
    <x v="18"/>
    <x v="0"/>
    <n v="62"/>
  </r>
  <r>
    <x v="19"/>
    <x v="0"/>
    <n v="59"/>
  </r>
  <r>
    <x v="20"/>
    <x v="0"/>
    <n v="6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CC0240-1924-4F2F-8069-66BAF7FADAAB}" name="PivotTable1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1">
  <location ref="A1:I6" firstHeaderRow="1" firstDataRow="2" firstDataCol="1"/>
  <pivotFields count="6">
    <pivotField numFmtId="14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axis="axisCol" showAll="0">
      <items count="9">
        <item x="0"/>
        <item x="7"/>
        <item x="3"/>
        <item x="1"/>
        <item x="6"/>
        <item x="4"/>
        <item x="5"/>
        <item x="2"/>
        <item t="default"/>
      </items>
    </pivotField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5"/>
  </rowFields>
  <rowItems count="4">
    <i>
      <x v="1"/>
    </i>
    <i>
      <x v="2"/>
    </i>
    <i>
      <x v="3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dataFields count="1">
    <dataField name="Sum of customers" fld="2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CD4A2-A3EF-4D8E-8B50-414BA3562B22}">
  <dimension ref="A1:R12"/>
  <sheetViews>
    <sheetView tabSelected="1" workbookViewId="0">
      <selection activeCell="S16" sqref="S16"/>
    </sheetView>
  </sheetViews>
  <sheetFormatPr defaultRowHeight="15" x14ac:dyDescent="0.25"/>
  <cols>
    <col min="1" max="1" width="16.85546875" bestFit="1" customWidth="1"/>
    <col min="2" max="2" width="16.28515625" customWidth="1"/>
    <col min="3" max="9" width="2" bestFit="1" customWidth="1"/>
    <col min="10" max="10" width="11.28515625" bestFit="1" customWidth="1"/>
    <col min="11" max="11" width="8.7109375" bestFit="1" customWidth="1"/>
    <col min="12" max="14" width="9.7109375" bestFit="1" customWidth="1"/>
    <col min="15" max="22" width="8.7109375" bestFit="1" customWidth="1"/>
    <col min="23" max="23" width="11.28515625" bestFit="1" customWidth="1"/>
  </cols>
  <sheetData>
    <row r="1" spans="1:18" x14ac:dyDescent="0.25">
      <c r="A1" s="1" t="s">
        <v>0</v>
      </c>
      <c r="B1" s="1" t="s">
        <v>1</v>
      </c>
    </row>
    <row r="2" spans="1:18" x14ac:dyDescent="0.25">
      <c r="A2" s="1" t="s">
        <v>6</v>
      </c>
      <c r="B2">
        <v>0</v>
      </c>
      <c r="C2">
        <v>1</v>
      </c>
      <c r="D2">
        <v>3</v>
      </c>
      <c r="E2">
        <v>4</v>
      </c>
      <c r="F2">
        <v>5</v>
      </c>
      <c r="G2">
        <v>6</v>
      </c>
      <c r="H2">
        <v>7</v>
      </c>
      <c r="I2">
        <v>9</v>
      </c>
    </row>
    <row r="3" spans="1:18" x14ac:dyDescent="0.25">
      <c r="A3" s="2" t="s">
        <v>3</v>
      </c>
      <c r="B3">
        <v>4</v>
      </c>
    </row>
    <row r="4" spans="1:18" x14ac:dyDescent="0.25">
      <c r="A4" s="2" t="s">
        <v>4</v>
      </c>
      <c r="B4">
        <v>478</v>
      </c>
      <c r="D4">
        <v>1</v>
      </c>
      <c r="E4">
        <v>1</v>
      </c>
      <c r="G4">
        <v>2</v>
      </c>
      <c r="H4">
        <v>1</v>
      </c>
      <c r="I4">
        <v>1</v>
      </c>
    </row>
    <row r="5" spans="1:18" x14ac:dyDescent="0.25">
      <c r="A5" s="2" t="s">
        <v>5</v>
      </c>
      <c r="B5">
        <v>551</v>
      </c>
      <c r="C5">
        <v>1</v>
      </c>
      <c r="D5">
        <v>1</v>
      </c>
      <c r="F5">
        <v>1</v>
      </c>
    </row>
    <row r="6" spans="1:18" x14ac:dyDescent="0.25">
      <c r="A6" s="2" t="s">
        <v>2</v>
      </c>
      <c r="B6">
        <v>1033</v>
      </c>
      <c r="C6">
        <v>1</v>
      </c>
      <c r="D6">
        <v>2</v>
      </c>
      <c r="E6">
        <v>1</v>
      </c>
      <c r="F6">
        <v>1</v>
      </c>
      <c r="G6">
        <v>2</v>
      </c>
      <c r="H6">
        <v>1</v>
      </c>
      <c r="I6">
        <v>1</v>
      </c>
    </row>
    <row r="9" spans="1:18" x14ac:dyDescent="0.25">
      <c r="K9" s="3">
        <f>C3/$B3</f>
        <v>0</v>
      </c>
      <c r="L9" s="3">
        <f t="shared" ref="L9:P12" si="0">D3/$B3</f>
        <v>0</v>
      </c>
      <c r="M9" s="3">
        <f t="shared" si="0"/>
        <v>0</v>
      </c>
      <c r="N9" s="3">
        <f t="shared" si="0"/>
        <v>0</v>
      </c>
      <c r="O9" s="3">
        <f t="shared" si="0"/>
        <v>0</v>
      </c>
      <c r="P9" s="3">
        <f t="shared" si="0"/>
        <v>0</v>
      </c>
      <c r="Q9" s="3">
        <f t="shared" ref="Q9:Q12" si="1">I3/$B3</f>
        <v>0</v>
      </c>
      <c r="R9" s="3"/>
    </row>
    <row r="10" spans="1:18" x14ac:dyDescent="0.25">
      <c r="K10" s="3">
        <f t="shared" ref="K10:K12" si="2">C4/$B4</f>
        <v>0</v>
      </c>
      <c r="L10" s="3">
        <f t="shared" si="0"/>
        <v>2.0920502092050207E-3</v>
      </c>
      <c r="M10" s="3">
        <f t="shared" si="0"/>
        <v>2.0920502092050207E-3</v>
      </c>
      <c r="N10" s="3">
        <f t="shared" si="0"/>
        <v>0</v>
      </c>
      <c r="O10" s="3">
        <f t="shared" si="0"/>
        <v>4.1841004184100415E-3</v>
      </c>
      <c r="P10" s="3">
        <f t="shared" si="0"/>
        <v>2.0920502092050207E-3</v>
      </c>
      <c r="Q10" s="3">
        <f t="shared" si="1"/>
        <v>2.0920502092050207E-3</v>
      </c>
      <c r="R10" s="3"/>
    </row>
    <row r="11" spans="1:18" x14ac:dyDescent="0.25">
      <c r="K11" s="3">
        <f t="shared" si="2"/>
        <v>1.8148820326678765E-3</v>
      </c>
      <c r="L11" s="3">
        <f t="shared" si="0"/>
        <v>1.8148820326678765E-3</v>
      </c>
      <c r="M11" s="3">
        <f t="shared" si="0"/>
        <v>0</v>
      </c>
      <c r="N11" s="3">
        <f t="shared" si="0"/>
        <v>1.8148820326678765E-3</v>
      </c>
      <c r="O11" s="3">
        <f t="shared" si="0"/>
        <v>0</v>
      </c>
      <c r="P11" s="3">
        <f t="shared" si="0"/>
        <v>0</v>
      </c>
      <c r="Q11" s="3">
        <f t="shared" si="1"/>
        <v>0</v>
      </c>
      <c r="R11" s="3"/>
    </row>
    <row r="12" spans="1:18" x14ac:dyDescent="0.25">
      <c r="K12" s="3">
        <f t="shared" si="2"/>
        <v>9.6805421103581804E-4</v>
      </c>
      <c r="L12" s="3">
        <f t="shared" si="0"/>
        <v>1.9361084220716361E-3</v>
      </c>
      <c r="M12" s="3">
        <f t="shared" si="0"/>
        <v>9.6805421103581804E-4</v>
      </c>
      <c r="N12" s="3">
        <f t="shared" si="0"/>
        <v>9.6805421103581804E-4</v>
      </c>
      <c r="O12" s="3">
        <f t="shared" si="0"/>
        <v>1.9361084220716361E-3</v>
      </c>
      <c r="P12" s="3">
        <f t="shared" si="0"/>
        <v>9.6805421103581804E-4</v>
      </c>
      <c r="Q12" s="3">
        <f t="shared" si="1"/>
        <v>9.6805421103581804E-4</v>
      </c>
      <c r="R12" s="3"/>
    </row>
  </sheetData>
  <conditionalFormatting sqref="K9:R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2026-03-30T16:32:13Z</dcterms:created>
  <dcterms:modified xsi:type="dcterms:W3CDTF">2026-03-31T15:48:42Z</dcterms:modified>
</cp:coreProperties>
</file>